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minimized="1" xWindow="0" yWindow="0" windowWidth="20490" windowHeight="6375" tabRatio="500" activeTab="2"/>
  </bookViews>
  <sheets>
    <sheet name="Overview" sheetId="1" r:id="rId1"/>
    <sheet name="Clusters" sheetId="4" r:id="rId2"/>
    <sheet name="Plans &amp; Usage" sheetId="2" r:id="rId3"/>
    <sheet name="Risk Segments" sheetId="3" r:id="rId4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" i="3" l="1"/>
  <c r="F12" i="3"/>
  <c r="F11" i="3"/>
  <c r="E15" i="2"/>
  <c r="K14" i="2"/>
  <c r="E14" i="2"/>
  <c r="K13" i="2"/>
  <c r="E13" i="2"/>
  <c r="K12" i="2"/>
  <c r="E12" i="2"/>
  <c r="K7" i="2"/>
  <c r="E7" i="2"/>
  <c r="K6" i="2"/>
  <c r="E6" i="2"/>
  <c r="E16" i="1"/>
  <c r="J15" i="1"/>
  <c r="E15" i="1"/>
  <c r="J14" i="1"/>
  <c r="E14" i="1"/>
  <c r="J13" i="1"/>
  <c r="E13" i="1"/>
  <c r="J12" i="1"/>
  <c r="E12" i="1"/>
  <c r="J11" i="1"/>
  <c r="E11" i="1"/>
  <c r="E10" i="1"/>
</calcChain>
</file>

<file path=xl/sharedStrings.xml><?xml version="1.0" encoding="utf-8"?>
<sst xmlns="http://schemas.openxmlformats.org/spreadsheetml/2006/main" count="139" uniqueCount="99">
  <si>
    <t>CUSTOMER CHURN INTELLIGENCE DASHBOARD</t>
  </si>
  <si>
    <t>Telecom Analytics  |  4,250 Customers  |  Churn Rate: 14.07%</t>
  </si>
  <si>
    <t>TOTAL CUSTOMERS</t>
  </si>
  <si>
    <t>CHURNED CUSTOMERS</t>
  </si>
  <si>
    <t>CHURN RATE</t>
  </si>
  <si>
    <t>RETAINED</t>
  </si>
  <si>
    <t>👥 All customers in dataset</t>
  </si>
  <si>
    <t>📉 Lost customers</t>
  </si>
  <si>
    <t>⚠️ Overall churn proportion</t>
  </si>
  <si>
    <t>✅ 85.9% retention rate</t>
  </si>
  <si>
    <t>▌ AVG METRICS: CHURNED vs NON-CHURNED</t>
  </si>
  <si>
    <t>METRIC</t>
  </si>
  <si>
    <t>NON-CHURNED</t>
  </si>
  <si>
    <t>CHURNED</t>
  </si>
  <si>
    <t>DIFFERENCE</t>
  </si>
  <si>
    <t>▌ CS CALLS vs CHURN RATE</t>
  </si>
  <si>
    <t>Account Length (days)</t>
  </si>
  <si>
    <t>CS CALLS</t>
  </si>
  <si>
    <t>TOTAL CUST.</t>
  </si>
  <si>
    <t>CHURN RATE %</t>
  </si>
  <si>
    <t>Avg CS Calls</t>
  </si>
  <si>
    <t>0</t>
  </si>
  <si>
    <t>Day Minutes (min)</t>
  </si>
  <si>
    <t>1</t>
  </si>
  <si>
    <t>Day Charge ($)</t>
  </si>
  <si>
    <t>2</t>
  </si>
  <si>
    <t>Evening Charge ($)</t>
  </si>
  <si>
    <t>3</t>
  </si>
  <si>
    <t>Night Charge ($)</t>
  </si>
  <si>
    <t>4+</t>
  </si>
  <si>
    <t>Intl Charge ($)</t>
  </si>
  <si>
    <t>⚠️  4+ CS Calls = 50.75% Churn Rate  (4.6× baseline)</t>
  </si>
  <si>
    <t>CS Calls</t>
  </si>
  <si>
    <t>Churn Rate</t>
  </si>
  <si>
    <t>Status</t>
  </si>
  <si>
    <t>Customers</t>
  </si>
  <si>
    <t>Retained</t>
  </si>
  <si>
    <t>Churned</t>
  </si>
  <si>
    <t>PLANS &amp; USAGE ANALYSIS</t>
  </si>
  <si>
    <t>Impact of plan types and usage patterns on churn behaviour</t>
  </si>
  <si>
    <t>▌ INTERNATIONAL PLAN</t>
  </si>
  <si>
    <t>▌ VOICEMAIL PLAN</t>
  </si>
  <si>
    <t>PLAN</t>
  </si>
  <si>
    <t>CUSTOMERS</t>
  </si>
  <si>
    <t>No Intl Plan</t>
  </si>
  <si>
    <t>No Voicemail</t>
  </si>
  <si>
    <t>Has Intl Plan</t>
  </si>
  <si>
    <t>Has Voicemail</t>
  </si>
  <si>
    <t>▌ DAY MINUTES USAGE SEGMENTS</t>
  </si>
  <si>
    <t>▌ AREA CODE BREAKDOWN</t>
  </si>
  <si>
    <t>SEGMENT</t>
  </si>
  <si>
    <t>RISK</t>
  </si>
  <si>
    <t>AREA CODE</t>
  </si>
  <si>
    <t>Low (&lt;143 min)</t>
  </si>
  <si>
    <t>LOW</t>
  </si>
  <si>
    <t>510</t>
  </si>
  <si>
    <t>Mid-Low (143-180 min)</t>
  </si>
  <si>
    <t>408</t>
  </si>
  <si>
    <t>Mid-High (180-216 min)</t>
  </si>
  <si>
    <t>415</t>
  </si>
  <si>
    <t>High (&gt;216 min)</t>
  </si>
  <si>
    <t>HIGH</t>
  </si>
  <si>
    <t>RISK TIER ANALYSIS</t>
  </si>
  <si>
    <t>Customer segmentation by churn risk score</t>
  </si>
  <si>
    <t>LOW RISK (0-2)</t>
  </si>
  <si>
    <t>MEDIUM RISK (3-6)</t>
  </si>
  <si>
    <t>HIGH RISK (7+)</t>
  </si>
  <si>
    <t>Minimal intervention needed</t>
  </si>
  <si>
    <t>Proactive retention required</t>
  </si>
  <si>
    <t>Immediate action critical</t>
  </si>
  <si>
    <t>▌ DETAILED RISK BREAKDOWN</t>
  </si>
  <si>
    <t>RISK TIER</t>
  </si>
  <si>
    <t>SCORE RANGE</t>
  </si>
  <si>
    <t>CHURNED (EST.)</t>
  </si>
  <si>
    <t>Low Risk</t>
  </si>
  <si>
    <t>0-2</t>
  </si>
  <si>
    <t>Medium Risk</t>
  </si>
  <si>
    <t>3-6</t>
  </si>
  <si>
    <t>High Risk</t>
  </si>
  <si>
    <t>7+</t>
  </si>
  <si>
    <t>BEHAVIORAL CLUSTER ANALYSIS</t>
  </si>
  <si>
    <t>Customer segments identified by usage patterns — 4 clusters</t>
  </si>
  <si>
    <t>▌ CLUSTER PROFILES</t>
  </si>
  <si>
    <t>CLUSTER</t>
  </si>
  <si>
    <t>DAY MINS</t>
  </si>
  <si>
    <t>EVE MINS</t>
  </si>
  <si>
    <t>NIGHT MINS</t>
  </si>
  <si>
    <t>INTL MINS</t>
  </si>
  <si>
    <t>Cluster 0</t>
  </si>
  <si>
    <t>Cluster 1</t>
  </si>
  <si>
    <t>Cluster 2</t>
  </si>
  <si>
    <t>Cluster 3</t>
  </si>
  <si>
    <t>▌ CLUSTER INSIGHTS</t>
  </si>
  <si>
    <t>⚠️ PRIORITY TARGET</t>
  </si>
  <si>
    <t>Heavy daytime callers (228 min avg). 22.2% churn — likely hitting plan limits or unexpected charges. Immediate retention action recommended.</t>
  </si>
  <si>
    <t>✅ STABLE</t>
  </si>
  <si>
    <t>High night-time usage pattern. 11.9% churn — near baseline. Monitor for service quality issues.</t>
  </si>
  <si>
    <t>Low day / high evening usage. Lowest churn at 10.9%. Likely personal/household users.</t>
  </si>
  <si>
    <t>Balanced usage, minimal international calls. 10.8% churn. Well-served by standard plans.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</si>
</sst>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\+0.00;\-0.00;0.00"/>
    <numFmt numFmtId="166" formatCode="0.0"/>
  </numFmts>
  <fonts count="29" x14ac:knownFonts="1">
    <font>
      <sz val="11"/>
      <color theme="1"/>
      <name val="Calibri"/>
      <family val="2"/>
      <charset val="1"/>
    </font>
    <font>
      <b/>
      <sz val="20"/>
      <color rgb="FF06D6A0"/>
      <name val="Arial"/>
      <charset val="1"/>
    </font>
    <font>
      <i/>
      <sz val="10"/>
      <color rgb="FF4A7A8A"/>
      <name val="Arial"/>
      <charset val="1"/>
    </font>
    <font>
      <b/>
      <sz val="9"/>
      <color rgb="FFAAC8D8"/>
      <name val="Arial"/>
      <charset val="1"/>
    </font>
    <font>
      <b/>
      <sz val="22"/>
      <color rgb="FF118AB2"/>
      <name val="Arial"/>
      <charset val="1"/>
    </font>
    <font>
      <b/>
      <sz val="22"/>
      <color rgb="FFE63946"/>
      <name val="Arial"/>
      <charset val="1"/>
    </font>
    <font>
      <b/>
      <sz val="22"/>
      <color rgb="FFFFD166"/>
      <name val="Arial"/>
      <charset val="1"/>
    </font>
    <font>
      <b/>
      <sz val="22"/>
      <color rgb="FF06D6A0"/>
      <name val="Arial"/>
      <charset val="1"/>
    </font>
    <font>
      <i/>
      <sz val="8"/>
      <color rgb="FF607080"/>
      <name val="Arial"/>
      <charset val="1"/>
    </font>
    <font>
      <b/>
      <sz val="11"/>
      <color rgb="FFFFD166"/>
      <name val="Arial"/>
      <charset val="1"/>
    </font>
    <font>
      <b/>
      <sz val="10"/>
      <color rgb="FFD0E8F2"/>
      <name val="Arial"/>
      <charset val="1"/>
    </font>
    <font>
      <sz val="10"/>
      <color rgb="FFFFFFFF"/>
      <name val="Arial"/>
      <charset val="1"/>
    </font>
    <font>
      <sz val="10"/>
      <color rgb="FF06D6A0"/>
      <name val="Arial"/>
      <charset val="1"/>
    </font>
    <font>
      <sz val="10"/>
      <color rgb="FFE63946"/>
      <name val="Arial"/>
      <charset val="1"/>
    </font>
    <font>
      <sz val="10"/>
      <color rgb="FFFFD166"/>
      <name val="Arial"/>
      <charset val="1"/>
    </font>
    <font>
      <b/>
      <sz val="10"/>
      <color rgb="FFE63946"/>
      <name val="Arial"/>
      <charset val="1"/>
    </font>
    <font>
      <sz val="8"/>
      <color rgb="FF1A2B3C"/>
      <name val="Cambria"/>
      <charset val="1"/>
    </font>
    <font>
      <b/>
      <sz val="18"/>
      <color rgb="FFFFD166"/>
      <name val="Arial"/>
      <charset val="1"/>
    </font>
    <font>
      <b/>
      <sz val="10"/>
      <color rgb="FFFFD166"/>
      <name val="Arial"/>
      <charset val="1"/>
    </font>
    <font>
      <sz val="7"/>
      <color rgb="FF1A2B3C"/>
      <name val="Cambria"/>
      <charset val="1"/>
    </font>
    <font>
      <b/>
      <sz val="18"/>
      <color rgb="FFE63946"/>
      <name val="Arial"/>
      <charset val="1"/>
    </font>
    <font>
      <b/>
      <sz val="9"/>
      <color rgb="FF06D6A0"/>
      <name val="Arial"/>
      <charset val="1"/>
    </font>
    <font>
      <b/>
      <sz val="9"/>
      <color rgb="FFFFD166"/>
      <name val="Arial"/>
      <charset val="1"/>
    </font>
    <font>
      <b/>
      <sz val="9"/>
      <color rgb="FFE63946"/>
      <name val="Arial"/>
      <charset val="1"/>
    </font>
    <font>
      <b/>
      <sz val="16"/>
      <color rgb="FFFFFFFF"/>
      <name val="Arial"/>
      <charset val="1"/>
    </font>
    <font>
      <b/>
      <sz val="10"/>
      <color rgb="FF06D6A0"/>
      <name val="Arial"/>
      <charset val="1"/>
    </font>
    <font>
      <b/>
      <sz val="18"/>
      <color rgb="FF06D6A0"/>
      <name val="Arial"/>
      <charset val="1"/>
    </font>
    <font>
      <b/>
      <sz val="10"/>
      <color rgb="FF118AB2"/>
      <name val="Arial"/>
      <charset val="1"/>
    </font>
    <font>
      <i/>
      <sz val="10"/>
      <color rgb="FFD0E8F2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A2B3C"/>
        <bgColor rgb="FF162535"/>
      </patternFill>
    </fill>
    <fill>
      <patternFill patternType="solid">
        <fgColor rgb="FF0D1F2D"/>
        <bgColor rgb="FF0D2535"/>
      </patternFill>
    </fill>
    <fill>
      <patternFill patternType="solid">
        <fgColor rgb="FF1E3448"/>
        <bgColor rgb="FF1A2B3C"/>
      </patternFill>
    </fill>
    <fill>
      <patternFill patternType="solid">
        <fgColor rgb="FF0D2535"/>
        <bgColor rgb="FF162535"/>
      </patternFill>
    </fill>
    <fill>
      <patternFill patternType="solid">
        <fgColor rgb="FF162535"/>
        <bgColor rgb="FF0D2535"/>
      </patternFill>
    </fill>
    <fill>
      <patternFill patternType="solid">
        <fgColor rgb="FF2A0D12"/>
        <bgColor rgb="FF1A1505"/>
      </patternFill>
    </fill>
    <fill>
      <patternFill patternType="solid">
        <fgColor rgb="FF0A2018"/>
        <bgColor rgb="FF0D1F2D"/>
      </patternFill>
    </fill>
    <fill>
      <patternFill patternType="solid">
        <fgColor rgb="FF091825"/>
        <bgColor rgb="FF0D1F2D"/>
      </patternFill>
    </fill>
    <fill>
      <patternFill patternType="solid">
        <fgColor rgb="FF1A1505"/>
        <bgColor rgb="FF2A0D12"/>
      </patternFill>
    </fill>
  </fills>
  <borders count="7">
    <border>
      <left/>
      <right/>
      <top/>
      <bottom/>
      <diagonal/>
    </border>
    <border>
      <left style="medium">
        <color rgb="FF118AB2"/>
      </left>
      <right/>
      <top/>
      <bottom/>
      <diagonal/>
    </border>
    <border>
      <left style="medium">
        <color rgb="FFE63946"/>
      </left>
      <right/>
      <top/>
      <bottom/>
      <diagonal/>
    </border>
    <border>
      <left style="medium">
        <color rgb="FFFFD166"/>
      </left>
      <right/>
      <top/>
      <bottom/>
      <diagonal/>
    </border>
    <border>
      <left style="medium">
        <color rgb="FF06D6A0"/>
      </left>
      <right/>
      <top/>
      <bottom/>
      <diagonal/>
    </border>
    <border>
      <left style="thin">
        <color rgb="FF2A4055"/>
      </left>
      <right style="thin">
        <color rgb="FF2A4055"/>
      </right>
      <top style="thin">
        <color rgb="FF2A4055"/>
      </top>
      <bottom style="thin">
        <color rgb="FF2A4055"/>
      </bottom>
      <diagonal/>
    </border>
    <border>
      <left style="medium">
        <color rgb="FFE63946"/>
      </left>
      <right/>
      <top style="thin">
        <color rgb="FFE63946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0" fillId="3" borderId="0" xfId="0" applyFill="1"/>
    <xf numFmtId="0" fontId="10" fillId="5" borderId="5" xfId="0" applyFont="1" applyFill="1" applyBorder="1" applyAlignment="1">
      <alignment horizontal="center" vertical="center"/>
    </xf>
    <xf numFmtId="4" fontId="11" fillId="6" borderId="0" xfId="0" applyNumberFormat="1" applyFont="1" applyFill="1" applyAlignment="1">
      <alignment horizontal="left" vertical="center"/>
    </xf>
    <xf numFmtId="4" fontId="12" fillId="6" borderId="0" xfId="0" applyNumberFormat="1" applyFont="1" applyFill="1" applyAlignment="1">
      <alignment horizontal="center" vertical="center"/>
    </xf>
    <xf numFmtId="4" fontId="13" fillId="6" borderId="0" xfId="0" applyNumberFormat="1" applyFont="1" applyFill="1" applyAlignment="1">
      <alignment horizontal="center" vertical="center"/>
    </xf>
    <xf numFmtId="165" fontId="14" fillId="6" borderId="0" xfId="0" applyNumberFormat="1" applyFont="1" applyFill="1" applyAlignment="1">
      <alignment horizontal="center" vertical="center"/>
    </xf>
    <xf numFmtId="4" fontId="11" fillId="4" borderId="0" xfId="0" applyNumberFormat="1" applyFont="1" applyFill="1" applyAlignment="1">
      <alignment horizontal="left" vertical="center"/>
    </xf>
    <xf numFmtId="4" fontId="12" fillId="4" borderId="0" xfId="0" applyNumberFormat="1" applyFont="1" applyFill="1" applyAlignment="1">
      <alignment horizontal="center" vertical="center"/>
    </xf>
    <xf numFmtId="4" fontId="13" fillId="4" borderId="0" xfId="0" applyNumberFormat="1" applyFont="1" applyFill="1" applyAlignment="1">
      <alignment horizontal="center" vertical="center"/>
    </xf>
    <xf numFmtId="165" fontId="14" fillId="4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3" fontId="11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10" fontId="14" fillId="6" borderId="0" xfId="0" applyNumberFormat="1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3" fontId="11" fillId="4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10" fontId="14" fillId="4" borderId="0" xfId="0" applyNumberFormat="1" applyFont="1" applyFill="1" applyAlignment="1">
      <alignment horizontal="center" vertical="center"/>
    </xf>
    <xf numFmtId="10" fontId="15" fillId="6" borderId="0" xfId="0" applyNumberFormat="1" applyFont="1" applyFill="1" applyAlignment="1">
      <alignment horizontal="center" vertical="center"/>
    </xf>
    <xf numFmtId="0" fontId="16" fillId="2" borderId="0" xfId="0" applyFont="1" applyFill="1"/>
    <xf numFmtId="0" fontId="11" fillId="6" borderId="0" xfId="0" applyFont="1" applyFill="1" applyAlignment="1">
      <alignment horizontal="left" vertical="center"/>
    </xf>
    <xf numFmtId="10" fontId="18" fillId="6" borderId="0" xfId="0" applyNumberFormat="1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10" fontId="15" fillId="4" borderId="0" xfId="0" applyNumberFormat="1" applyFont="1" applyFill="1" applyAlignment="1">
      <alignment horizontal="center" vertical="center"/>
    </xf>
    <xf numFmtId="10" fontId="18" fillId="4" borderId="0" xfId="0" applyNumberFormat="1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9" fillId="2" borderId="0" xfId="0" applyFont="1" applyFill="1"/>
    <xf numFmtId="0" fontId="25" fillId="6" borderId="0" xfId="0" applyFont="1" applyFill="1" applyAlignment="1">
      <alignment horizontal="left" vertical="center"/>
    </xf>
    <xf numFmtId="164" fontId="25" fillId="6" borderId="0" xfId="0" applyNumberFormat="1" applyFont="1" applyFill="1" applyAlignment="1">
      <alignment horizontal="center" vertical="center"/>
    </xf>
    <xf numFmtId="3" fontId="13" fillId="6" borderId="0" xfId="0" applyNumberFormat="1" applyFont="1" applyFill="1" applyAlignment="1">
      <alignment horizontal="center" vertical="center"/>
    </xf>
    <xf numFmtId="0" fontId="18" fillId="4" borderId="0" xfId="0" applyFont="1" applyFill="1" applyAlignment="1">
      <alignment horizontal="left" vertical="center"/>
    </xf>
    <xf numFmtId="164" fontId="18" fillId="4" borderId="0" xfId="0" applyNumberFormat="1" applyFont="1" applyFill="1" applyAlignment="1">
      <alignment horizontal="center" vertical="center"/>
    </xf>
    <xf numFmtId="3" fontId="13" fillId="4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left" vertical="center"/>
    </xf>
    <xf numFmtId="164" fontId="15" fillId="6" borderId="0" xfId="0" applyNumberFormat="1" applyFont="1" applyFill="1" applyAlignment="1">
      <alignment horizontal="center" vertical="center"/>
    </xf>
    <xf numFmtId="166" fontId="11" fillId="6" borderId="0" xfId="0" applyNumberFormat="1" applyFont="1" applyFill="1" applyAlignment="1">
      <alignment horizontal="center" vertical="center"/>
    </xf>
    <xf numFmtId="0" fontId="25" fillId="4" borderId="0" xfId="0" applyFont="1" applyFill="1" applyAlignment="1">
      <alignment horizontal="left" vertical="center"/>
    </xf>
    <xf numFmtId="166" fontId="11" fillId="4" borderId="0" xfId="0" applyNumberFormat="1" applyFont="1" applyFill="1" applyAlignment="1">
      <alignment horizontal="center" vertical="center"/>
    </xf>
    <xf numFmtId="164" fontId="25" fillId="4" borderId="0" xfId="0" applyNumberFormat="1" applyFont="1" applyFill="1" applyAlignment="1">
      <alignment horizontal="center" vertical="center"/>
    </xf>
    <xf numFmtId="0" fontId="27" fillId="6" borderId="0" xfId="0" applyFont="1" applyFill="1" applyAlignment="1">
      <alignment horizontal="left" vertical="center"/>
    </xf>
    <xf numFmtId="164" fontId="27" fillId="6" borderId="0" xfId="0" applyNumberFormat="1" applyFont="1" applyFill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0" fontId="15" fillId="7" borderId="6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164" fontId="6" fillId="4" borderId="3" xfId="0" applyNumberFormat="1" applyFont="1" applyFill="1" applyBorder="1" applyAlignment="1">
      <alignment horizontal="center" vertical="center"/>
    </xf>
    <xf numFmtId="3" fontId="7" fillId="4" borderId="4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left" vertical="center"/>
    </xf>
    <xf numFmtId="0" fontId="18" fillId="10" borderId="0" xfId="0" applyFont="1" applyFill="1" applyBorder="1" applyAlignment="1">
      <alignment horizontal="center" vertical="center"/>
    </xf>
    <xf numFmtId="0" fontId="28" fillId="10" borderId="0" xfId="0" applyFont="1" applyFill="1" applyBorder="1" applyAlignment="1">
      <alignment horizontal="left" vertical="center" wrapText="1"/>
    </xf>
    <xf numFmtId="0" fontId="25" fillId="8" borderId="4" xfId="0" applyFont="1" applyFill="1" applyBorder="1" applyAlignment="1">
      <alignment horizontal="left" vertical="center"/>
    </xf>
    <xf numFmtId="0" fontId="25" fillId="8" borderId="0" xfId="0" applyFont="1" applyFill="1" applyBorder="1" applyAlignment="1">
      <alignment horizontal="center" vertical="center"/>
    </xf>
    <xf numFmtId="0" fontId="28" fillId="8" borderId="0" xfId="0" applyFont="1" applyFill="1" applyBorder="1" applyAlignment="1">
      <alignment horizontal="left" vertical="center" wrapText="1"/>
    </xf>
    <xf numFmtId="0" fontId="27" fillId="9" borderId="1" xfId="0" applyFont="1" applyFill="1" applyBorder="1" applyAlignment="1">
      <alignment horizontal="left" vertical="center"/>
    </xf>
    <xf numFmtId="0" fontId="27" fillId="9" borderId="0" xfId="0" applyFont="1" applyFill="1" applyBorder="1" applyAlignment="1">
      <alignment horizontal="center" vertical="center"/>
    </xf>
    <xf numFmtId="0" fontId="28" fillId="9" borderId="0" xfId="0" applyFont="1" applyFill="1" applyBorder="1" applyAlignment="1">
      <alignment horizontal="left" vertical="center" wrapText="1"/>
    </xf>
    <xf numFmtId="0" fontId="26" fillId="3" borderId="0" xfId="0" applyFont="1" applyFill="1" applyBorder="1" applyAlignment="1">
      <alignment horizontal="left" vertical="center"/>
    </xf>
    <xf numFmtId="0" fontId="15" fillId="7" borderId="2" xfId="0" applyFont="1" applyFill="1" applyBorder="1" applyAlignment="1">
      <alignment horizontal="left" vertical="center"/>
    </xf>
    <xf numFmtId="0" fontId="15" fillId="7" borderId="0" xfId="0" applyFont="1" applyFill="1" applyBorder="1" applyAlignment="1">
      <alignment horizontal="center" vertical="center"/>
    </xf>
    <xf numFmtId="0" fontId="28" fillId="7" borderId="0" xfId="0" applyFont="1" applyFill="1" applyBorder="1" applyAlignment="1">
      <alignment horizontal="left" vertical="center" wrapText="1"/>
    </xf>
    <xf numFmtId="0" fontId="17" fillId="3" borderId="0" xfId="0" applyFont="1" applyFill="1" applyBorder="1" applyAlignment="1">
      <alignment horizontal="left" vertical="center"/>
    </xf>
    <xf numFmtId="3" fontId="6" fillId="4" borderId="3" xfId="0" applyNumberFormat="1" applyFont="1" applyFill="1" applyBorder="1" applyAlignment="1">
      <alignment horizontal="center" vertical="center"/>
    </xf>
    <xf numFmtId="164" fontId="24" fillId="4" borderId="4" xfId="0" applyNumberFormat="1" applyFont="1" applyFill="1" applyBorder="1" applyAlignment="1">
      <alignment horizontal="center" vertical="center"/>
    </xf>
    <xf numFmtId="164" fontId="24" fillId="4" borderId="3" xfId="0" applyNumberFormat="1" applyFont="1" applyFill="1" applyBorder="1" applyAlignment="1">
      <alignment horizontal="center" vertical="center"/>
    </xf>
    <xf numFmtId="164" fontId="24" fillId="4" borderId="2" xfId="0" applyNumberFormat="1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left" vertical="center"/>
    </xf>
    <xf numFmtId="0" fontId="21" fillId="4" borderId="4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1A1505"/>
      <rgbColor rgb="FF008000"/>
      <rgbColor rgb="FF091825"/>
      <rgbColor rgb="FF808000"/>
      <rgbColor rgb="FF800080"/>
      <rgbColor rgb="FF118AB2"/>
      <rgbColor rgb="FFAAC8D8"/>
      <rgbColor rgb="FF878787"/>
      <rgbColor rgb="FF9999FF"/>
      <rgbColor rgb="FFE63946"/>
      <rgbColor rgb="FFF9F9F9"/>
      <rgbColor rgb="FFD0E8F2"/>
      <rgbColor rgb="FF2A0D12"/>
      <rgbColor rgb="FFFF4D6D"/>
      <rgbColor rgb="FF0066CC"/>
      <rgbColor rgb="FFD9D9D9"/>
      <rgbColor rgb="FF0D1F2D"/>
      <rgbColor rgb="FFFF00FF"/>
      <rgbColor rgb="FFFFFF00"/>
      <rgbColor rgb="FF00FFFF"/>
      <rgbColor rgb="FF800080"/>
      <rgbColor rgb="FF162535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166"/>
      <rgbColor rgb="FF4F81BD"/>
      <rgbColor rgb="FF06D6A0"/>
      <rgbColor rgb="FF99CC00"/>
      <rgbColor rgb="FFFFCC00"/>
      <rgbColor rgb="FFFF9900"/>
      <rgbColor rgb="FFFF6600"/>
      <rgbColor rgb="FF607080"/>
      <rgbColor rgb="FF969696"/>
      <rgbColor rgb="FF0D2535"/>
      <rgbColor rgb="FF4A7A8A"/>
      <rgbColor rgb="FF0A2018"/>
      <rgbColor rgb="FF1A2B3C"/>
      <rgbColor rgb="FF993300"/>
      <rgbColor rgb="FF993366"/>
      <rgbColor rgb="FF2A4055"/>
      <rgbColor rgb="FF1E34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Churn Rate by CS Calls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Overview!$C$20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118AB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Overview!$B$21:$B$25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4+</c:v>
                </c:pt>
              </c:strCache>
            </c:strRef>
          </c:cat>
          <c:val>
            <c:numRef>
              <c:f>Overview!$C$21:$C$25</c:f>
              <c:numCache>
                <c:formatCode>General</c:formatCode>
                <c:ptCount val="5"/>
                <c:pt idx="0">
                  <c:v>0.1095</c:v>
                </c:pt>
                <c:pt idx="1">
                  <c:v>0.1089</c:v>
                </c:pt>
                <c:pt idx="2">
                  <c:v>0.1077</c:v>
                </c:pt>
                <c:pt idx="3">
                  <c:v>0.1129</c:v>
                </c:pt>
                <c:pt idx="4">
                  <c:v>0.50749999999999995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3-40BA-B7E3-4D743C1DE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01136"/>
        <c:axId val="41017449"/>
      </c:barChart>
      <c:catAx>
        <c:axId val="32011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Customer Service Calls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017449"/>
        <c:crosses val="autoZero"/>
        <c:auto val="1"/>
        <c:lblAlgn val="ctr"/>
        <c:lblOffset val="100"/>
        <c:noMultiLvlLbl val="0"/>
      </c:catAx>
      <c:valAx>
        <c:axId val="410174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011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Customer Churn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Overview!$F$20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06D6A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48C0-450C-8077-3F1183EFB01A}"/>
              </c:ext>
            </c:extLst>
          </c:dPt>
          <c:dPt>
            <c:idx val="1"/>
            <c:bubble3D val="0"/>
            <c:spPr>
              <a:solidFill>
                <a:srgbClr val="E6394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48C0-450C-8077-3F1183EFB01A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C0-450C-8077-3F1183EFB01A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C0-450C-8077-3F1183EFB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Overview!$E$21:$E$22</c:f>
              <c:strCache>
                <c:ptCount val="2"/>
                <c:pt idx="0">
                  <c:v>Retained</c:v>
                </c:pt>
                <c:pt idx="1">
                  <c:v>Churned</c:v>
                </c:pt>
              </c:strCache>
            </c:strRef>
          </c:cat>
          <c:val>
            <c:numRef>
              <c:f>Overview!$F$21:$F$22</c:f>
              <c:numCache>
                <c:formatCode>General</c:formatCode>
                <c:ptCount val="2"/>
                <c:pt idx="0">
                  <c:v>3652</c:v>
                </c:pt>
                <c:pt idx="1">
                  <c:v>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C0-450C-8077-3F1183EFB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Churn Rate by Cluster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6D6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Clusters!$B$18:$B$21</c:f>
              <c:strCache>
                <c:ptCount val="4"/>
                <c:pt idx="0">
                  <c:v>Cluster 0</c:v>
                </c:pt>
                <c:pt idx="1">
                  <c:v>Cluster 1</c:v>
                </c:pt>
                <c:pt idx="2">
                  <c:v>Cluster 2</c:v>
                </c:pt>
                <c:pt idx="3">
                  <c:v>Cluster 3</c:v>
                </c:pt>
              </c:strCache>
            </c:strRef>
          </c:cat>
          <c:val>
            <c:numRef>
              <c:f>Clusters!$C$18:$C$21</c:f>
              <c:numCache>
                <c:formatCode>General</c:formatCode>
                <c:ptCount val="4"/>
                <c:pt idx="0">
                  <c:v>0.22220000000000001</c:v>
                </c:pt>
                <c:pt idx="1">
                  <c:v>0.1195</c:v>
                </c:pt>
                <c:pt idx="2">
                  <c:v>0.1094</c:v>
                </c:pt>
                <c:pt idx="3">
                  <c:v>0.10780000000000001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6-44F7-A3F6-44382B0DE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257916"/>
        <c:axId val="1447390"/>
      </c:barChart>
      <c:catAx>
        <c:axId val="842579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47390"/>
        <c:crosses val="autoZero"/>
        <c:auto val="1"/>
        <c:lblAlgn val="ctr"/>
        <c:lblOffset val="100"/>
        <c:noMultiLvlLbl val="0"/>
      </c:catAx>
      <c:valAx>
        <c:axId val="14473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2579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Rate by Day Usage Segment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D16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'Plans &amp; Usage'!$B$17:$B$20</c:f>
              <c:strCache>
                <c:ptCount val="4"/>
                <c:pt idx="0">
                  <c:v>Low (&lt;143 min)</c:v>
                </c:pt>
                <c:pt idx="1">
                  <c:v>Mid-Low (143-180 min)</c:v>
                </c:pt>
                <c:pt idx="2">
                  <c:v>Mid-High (180-216 min)</c:v>
                </c:pt>
                <c:pt idx="3">
                  <c:v>High (&gt;216 min)</c:v>
                </c:pt>
              </c:strCache>
            </c:strRef>
          </c:cat>
          <c:val>
            <c:numRef>
              <c:f>'Plans &amp; Usage'!$C$17:$C$20</c:f>
              <c:numCache>
                <c:formatCode>General</c:formatCode>
                <c:ptCount val="4"/>
                <c:pt idx="0">
                  <c:v>0.12139999999999999</c:v>
                </c:pt>
                <c:pt idx="1">
                  <c:v>9.1300000000000006E-2</c:v>
                </c:pt>
                <c:pt idx="2">
                  <c:v>6.2300000000000001E-2</c:v>
                </c:pt>
                <c:pt idx="3">
                  <c:v>0.2873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F-43E2-A3C1-9AEFC4B30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705502"/>
        <c:axId val="38199861"/>
      </c:barChart>
      <c:catAx>
        <c:axId val="977055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199861"/>
        <c:crosses val="autoZero"/>
        <c:auto val="1"/>
        <c:lblAlgn val="ctr"/>
        <c:lblOffset val="100"/>
        <c:noMultiLvlLbl val="0"/>
      </c:catAx>
      <c:valAx>
        <c:axId val="381998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7055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Churn Rate by Risk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639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Segments'!$B$16:$B$18</c:f>
              <c:strCache>
                <c:ptCount val="3"/>
                <c:pt idx="0">
                  <c:v>Low Risk</c:v>
                </c:pt>
                <c:pt idx="1">
                  <c:v>Medium Risk</c:v>
                </c:pt>
                <c:pt idx="2">
                  <c:v>High Risk</c:v>
                </c:pt>
              </c:strCache>
            </c:strRef>
          </c:cat>
          <c:val>
            <c:numRef>
              <c:f>'Risk Segments'!$C$16:$C$18</c:f>
              <c:numCache>
                <c:formatCode>General</c:formatCode>
                <c:ptCount val="3"/>
                <c:pt idx="0">
                  <c:v>2.4199999999999999E-2</c:v>
                </c:pt>
                <c:pt idx="1">
                  <c:v>0.3221</c:v>
                </c:pt>
                <c:pt idx="2">
                  <c:v>0.45739999999999997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5-423C-80BF-92239B74B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084066"/>
        <c:axId val="90419437"/>
      </c:barChart>
      <c:catAx>
        <c:axId val="840840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419437"/>
        <c:crosses val="autoZero"/>
        <c:auto val="1"/>
        <c:lblAlgn val="ctr"/>
        <c:lblOffset val="100"/>
        <c:noMultiLvlLbl val="0"/>
      </c:catAx>
      <c:valAx>
        <c:axId val="90419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0840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18</xdr:row>
      <xdr:rowOff>0</xdr:rowOff>
    </xdr:from>
    <xdr:to>
      <xdr:col>12</xdr:col>
      <xdr:colOff>402840</xdr:colOff>
      <xdr:row>33</xdr:row>
      <xdr:rowOff>170640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18</xdr:row>
      <xdr:rowOff>0</xdr:rowOff>
    </xdr:from>
    <xdr:to>
      <xdr:col>5</xdr:col>
      <xdr:colOff>810720</xdr:colOff>
      <xdr:row>33</xdr:row>
      <xdr:rowOff>170640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8</xdr:col>
      <xdr:colOff>277200</xdr:colOff>
      <xdr:row>38</xdr:row>
      <xdr:rowOff>128520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7</xdr:col>
      <xdr:colOff>982080</xdr:colOff>
      <xdr:row>38</xdr:row>
      <xdr:rowOff>128880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171360</xdr:rowOff>
    </xdr:from>
    <xdr:to>
      <xdr:col>13</xdr:col>
      <xdr:colOff>354960</xdr:colOff>
      <xdr:row>29</xdr:row>
      <xdr:rowOff>109440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3946"/>
  </sheetPr>
  <dimension ref="A1:N60"/>
  <sheetViews>
    <sheetView showGridLines="0" topLeftCell="Q1" zoomScaleNormal="100" workbookViewId="0"/>
  </sheetViews>
  <sheetFormatPr defaultColWidth="8.7109375" defaultRowHeight="15" x14ac:dyDescent="0.25"/>
  <cols>
    <col min="1" max="1" width="2" customWidth="1"/>
    <col min="2" max="2" width="18" customWidth="1"/>
    <col min="3" max="7" width="14" customWidth="1"/>
    <col min="8" max="8" width="2" customWidth="1"/>
    <col min="9" max="9" width="18" customWidth="1"/>
    <col min="10" max="13" width="14" customWidth="1"/>
    <col min="14" max="14" width="2" customWidth="1"/>
  </cols>
  <sheetData>
    <row r="1" spans="1:14" ht="7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9.75" customHeight="1" x14ac:dyDescent="0.25">
      <c r="A2" s="2"/>
      <c r="B2" s="55" t="s">
        <v>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2"/>
    </row>
    <row r="3" spans="1:14" ht="18" customHeight="1" x14ac:dyDescent="0.25">
      <c r="A3" s="1"/>
      <c r="B3" s="56" t="s">
        <v>1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1"/>
    </row>
    <row r="4" spans="1:14" ht="18" customHeight="1" x14ac:dyDescent="0.25">
      <c r="A4" s="1"/>
      <c r="B4" s="57" t="s">
        <v>2</v>
      </c>
      <c r="C4" s="57"/>
      <c r="D4" s="57"/>
      <c r="E4" s="57"/>
      <c r="F4" s="58" t="s">
        <v>3</v>
      </c>
      <c r="G4" s="58"/>
      <c r="H4" s="58"/>
      <c r="I4" s="59" t="s">
        <v>4</v>
      </c>
      <c r="J4" s="59"/>
      <c r="K4" s="59"/>
      <c r="L4" s="60" t="s">
        <v>5</v>
      </c>
      <c r="M4" s="60"/>
      <c r="N4" s="60"/>
    </row>
    <row r="5" spans="1:14" ht="18" customHeight="1" x14ac:dyDescent="0.25">
      <c r="A5" s="1"/>
      <c r="B5" s="47">
        <v>4250</v>
      </c>
      <c r="C5" s="47"/>
      <c r="D5" s="47"/>
      <c r="E5" s="47"/>
      <c r="F5" s="48">
        <v>598</v>
      </c>
      <c r="G5" s="48"/>
      <c r="H5" s="48"/>
      <c r="I5" s="49">
        <v>0.14069999999999999</v>
      </c>
      <c r="J5" s="49"/>
      <c r="K5" s="49"/>
      <c r="L5" s="50">
        <v>3652</v>
      </c>
      <c r="M5" s="50"/>
      <c r="N5" s="50"/>
    </row>
    <row r="6" spans="1:14" ht="18" customHeight="1" x14ac:dyDescent="0.25">
      <c r="A6" s="1"/>
      <c r="B6" s="51" t="s">
        <v>6</v>
      </c>
      <c r="C6" s="51"/>
      <c r="D6" s="51"/>
      <c r="E6" s="51"/>
      <c r="F6" s="52" t="s">
        <v>7</v>
      </c>
      <c r="G6" s="52"/>
      <c r="H6" s="52"/>
      <c r="I6" s="53" t="s">
        <v>8</v>
      </c>
      <c r="J6" s="53"/>
      <c r="K6" s="53"/>
      <c r="L6" s="54" t="s">
        <v>9</v>
      </c>
      <c r="M6" s="54"/>
      <c r="N6" s="54"/>
    </row>
    <row r="7" spans="1:14" ht="7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8" customHeight="1" x14ac:dyDescent="0.25">
      <c r="A8" s="1"/>
      <c r="B8" s="45" t="s">
        <v>10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</row>
    <row r="9" spans="1:14" ht="18" customHeight="1" x14ac:dyDescent="0.25">
      <c r="A9" s="1"/>
      <c r="B9" s="3" t="s">
        <v>11</v>
      </c>
      <c r="C9" s="3" t="s">
        <v>12</v>
      </c>
      <c r="D9" s="3" t="s">
        <v>13</v>
      </c>
      <c r="E9" s="3" t="s">
        <v>14</v>
      </c>
      <c r="F9" s="1"/>
      <c r="G9" s="45" t="s">
        <v>15</v>
      </c>
      <c r="H9" s="45"/>
      <c r="I9" s="45"/>
      <c r="J9" s="45"/>
      <c r="K9" s="45"/>
      <c r="L9" s="45"/>
      <c r="M9" s="45"/>
      <c r="N9" s="45"/>
    </row>
    <row r="10" spans="1:14" ht="18" customHeight="1" x14ac:dyDescent="0.25">
      <c r="A10" s="1"/>
      <c r="B10" s="4" t="s">
        <v>16</v>
      </c>
      <c r="C10" s="5">
        <v>99.92</v>
      </c>
      <c r="D10" s="6">
        <v>102.14</v>
      </c>
      <c r="E10" s="7">
        <f t="shared" ref="E10:E16" si="0">D10-C10</f>
        <v>2.2199999999999989</v>
      </c>
      <c r="F10" s="1"/>
      <c r="G10" s="3" t="s">
        <v>17</v>
      </c>
      <c r="H10" s="3" t="s">
        <v>18</v>
      </c>
      <c r="I10" s="3" t="s">
        <v>13</v>
      </c>
      <c r="J10" s="3" t="s">
        <v>19</v>
      </c>
      <c r="K10" s="1"/>
      <c r="L10" s="1"/>
      <c r="M10" s="1"/>
      <c r="N10" s="1"/>
    </row>
    <row r="11" spans="1:14" ht="18" customHeight="1" x14ac:dyDescent="0.25">
      <c r="A11" s="1"/>
      <c r="B11" s="8" t="s">
        <v>20</v>
      </c>
      <c r="C11" s="9">
        <v>1.44</v>
      </c>
      <c r="D11" s="10">
        <v>2.2799999999999998</v>
      </c>
      <c r="E11" s="11">
        <f t="shared" si="0"/>
        <v>0.83999999999999986</v>
      </c>
      <c r="F11" s="1"/>
      <c r="G11" s="12" t="s">
        <v>21</v>
      </c>
      <c r="H11" s="13">
        <v>886</v>
      </c>
      <c r="I11" s="14">
        <v>97</v>
      </c>
      <c r="J11" s="15">
        <f>I11/H11</f>
        <v>0.10948081264108352</v>
      </c>
      <c r="K11" s="1"/>
      <c r="L11" s="1"/>
      <c r="M11" s="1"/>
      <c r="N11" s="1"/>
    </row>
    <row r="12" spans="1:14" ht="18" customHeight="1" x14ac:dyDescent="0.25">
      <c r="A12" s="1"/>
      <c r="B12" s="4" t="s">
        <v>22</v>
      </c>
      <c r="C12" s="5">
        <v>175.56</v>
      </c>
      <c r="D12" s="6">
        <v>208.99</v>
      </c>
      <c r="E12" s="7">
        <f t="shared" si="0"/>
        <v>33.430000000000007</v>
      </c>
      <c r="F12" s="1"/>
      <c r="G12" s="16" t="s">
        <v>23</v>
      </c>
      <c r="H12" s="17">
        <v>1524</v>
      </c>
      <c r="I12" s="18">
        <v>166</v>
      </c>
      <c r="J12" s="19">
        <f>I12/H12</f>
        <v>0.1089238845144357</v>
      </c>
      <c r="K12" s="1"/>
      <c r="L12" s="1"/>
      <c r="M12" s="1"/>
      <c r="N12" s="1"/>
    </row>
    <row r="13" spans="1:14" ht="7.5" customHeight="1" x14ac:dyDescent="0.25">
      <c r="A13" s="1"/>
      <c r="B13" s="8" t="s">
        <v>24</v>
      </c>
      <c r="C13" s="9">
        <v>29.84</v>
      </c>
      <c r="D13" s="10">
        <v>35.53</v>
      </c>
      <c r="E13" s="11">
        <f t="shared" si="0"/>
        <v>5.6900000000000013</v>
      </c>
      <c r="F13" s="1"/>
      <c r="G13" s="12" t="s">
        <v>25</v>
      </c>
      <c r="H13" s="13">
        <v>947</v>
      </c>
      <c r="I13" s="14">
        <v>102</v>
      </c>
      <c r="J13" s="15">
        <f>I13/H13</f>
        <v>0.10770855332629356</v>
      </c>
      <c r="K13" s="1"/>
      <c r="L13" s="1"/>
      <c r="M13" s="1"/>
      <c r="N13" s="1"/>
    </row>
    <row r="14" spans="1:14" ht="18" customHeight="1" x14ac:dyDescent="0.25">
      <c r="A14" s="1"/>
      <c r="B14" s="4" t="s">
        <v>26</v>
      </c>
      <c r="C14" s="5">
        <v>16.88</v>
      </c>
      <c r="D14" s="6">
        <v>17.850000000000001</v>
      </c>
      <c r="E14" s="7">
        <f t="shared" si="0"/>
        <v>0.97000000000000242</v>
      </c>
      <c r="F14" s="1"/>
      <c r="G14" s="16" t="s">
        <v>27</v>
      </c>
      <c r="H14" s="17">
        <v>558</v>
      </c>
      <c r="I14" s="18">
        <v>63</v>
      </c>
      <c r="J14" s="19">
        <f>I14/H14</f>
        <v>0.11290322580645161</v>
      </c>
      <c r="K14" s="1"/>
      <c r="L14" s="1"/>
      <c r="M14" s="1"/>
      <c r="N14" s="1"/>
    </row>
    <row r="15" spans="1:14" ht="18" customHeight="1" x14ac:dyDescent="0.25">
      <c r="A15" s="1"/>
      <c r="B15" s="8" t="s">
        <v>28</v>
      </c>
      <c r="C15" s="9">
        <v>8.98</v>
      </c>
      <c r="D15" s="10">
        <v>9.2899999999999991</v>
      </c>
      <c r="E15" s="11">
        <f t="shared" si="0"/>
        <v>0.30999999999999872</v>
      </c>
      <c r="F15" s="1"/>
      <c r="G15" s="12" t="s">
        <v>29</v>
      </c>
      <c r="H15" s="13">
        <v>335</v>
      </c>
      <c r="I15" s="14">
        <v>170</v>
      </c>
      <c r="J15" s="20">
        <f>I15/H15</f>
        <v>0.5074626865671642</v>
      </c>
      <c r="K15" s="1"/>
      <c r="L15" s="1"/>
      <c r="M15" s="1"/>
      <c r="N15" s="1"/>
    </row>
    <row r="16" spans="1:14" ht="18" customHeight="1" x14ac:dyDescent="0.25">
      <c r="A16" s="1"/>
      <c r="B16" s="4" t="s">
        <v>30</v>
      </c>
      <c r="C16" s="5">
        <v>2.75</v>
      </c>
      <c r="D16" s="6">
        <v>2.87</v>
      </c>
      <c r="E16" s="7">
        <f t="shared" si="0"/>
        <v>0.12000000000000011</v>
      </c>
      <c r="F16" s="1"/>
      <c r="G16" s="46" t="s">
        <v>31</v>
      </c>
      <c r="H16" s="46"/>
      <c r="I16" s="46"/>
      <c r="J16" s="46"/>
      <c r="K16" s="1"/>
      <c r="L16" s="1"/>
      <c r="M16" s="1"/>
      <c r="N16" s="1"/>
    </row>
    <row r="17" spans="1:14" ht="18" customHeight="1" x14ac:dyDescent="0.25">
      <c r="A17" s="1"/>
      <c r="B17" s="1"/>
      <c r="C17" s="1"/>
      <c r="D17" s="1"/>
      <c r="E17" s="1"/>
      <c r="F17" s="1"/>
      <c r="G17" s="46"/>
      <c r="H17" s="46"/>
      <c r="I17" s="46"/>
      <c r="J17" s="46"/>
      <c r="K17" s="1"/>
      <c r="L17" s="1"/>
      <c r="M17" s="1"/>
      <c r="N17" s="1"/>
    </row>
    <row r="18" spans="1:14" ht="18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8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8" customHeight="1" x14ac:dyDescent="0.25">
      <c r="A20" s="1"/>
      <c r="B20" s="21" t="s">
        <v>32</v>
      </c>
      <c r="C20" s="21" t="s">
        <v>33</v>
      </c>
      <c r="D20" s="1"/>
      <c r="E20" s="21" t="s">
        <v>34</v>
      </c>
      <c r="F20" s="21" t="s">
        <v>35</v>
      </c>
      <c r="G20" s="1"/>
      <c r="H20" s="1"/>
      <c r="I20" s="1"/>
      <c r="J20" s="1"/>
      <c r="K20" s="1"/>
      <c r="L20" s="1"/>
      <c r="M20" s="1"/>
      <c r="N20" s="1"/>
    </row>
    <row r="21" spans="1:14" ht="18" customHeight="1" x14ac:dyDescent="0.25">
      <c r="A21" s="1"/>
      <c r="B21" s="21" t="s">
        <v>21</v>
      </c>
      <c r="C21" s="21">
        <v>0.1095</v>
      </c>
      <c r="D21" s="1"/>
      <c r="E21" s="21" t="s">
        <v>36</v>
      </c>
      <c r="F21" s="21">
        <v>3652</v>
      </c>
      <c r="G21" s="1"/>
      <c r="H21" s="1"/>
      <c r="I21" s="1"/>
      <c r="J21" s="1"/>
      <c r="K21" s="1"/>
      <c r="L21" s="1"/>
      <c r="M21" s="1"/>
      <c r="N21" s="1"/>
    </row>
    <row r="22" spans="1:14" ht="18" customHeight="1" x14ac:dyDescent="0.25">
      <c r="A22" s="1"/>
      <c r="B22" s="21" t="s">
        <v>23</v>
      </c>
      <c r="C22" s="21">
        <v>0.1089</v>
      </c>
      <c r="D22" s="1"/>
      <c r="E22" s="21" t="s">
        <v>37</v>
      </c>
      <c r="F22" s="21">
        <v>598</v>
      </c>
      <c r="G22" s="1"/>
      <c r="H22" s="1"/>
      <c r="I22" s="1"/>
      <c r="J22" s="1"/>
      <c r="K22" s="1"/>
      <c r="L22" s="1"/>
      <c r="M22" s="1"/>
      <c r="N22" s="1"/>
    </row>
    <row r="23" spans="1:14" ht="18" customHeight="1" x14ac:dyDescent="0.25">
      <c r="A23" s="1"/>
      <c r="B23" s="21" t="s">
        <v>25</v>
      </c>
      <c r="C23" s="21">
        <v>0.1077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8" customHeight="1" x14ac:dyDescent="0.25">
      <c r="A24" s="1"/>
      <c r="B24" s="21" t="s">
        <v>27</v>
      </c>
      <c r="C24" s="21">
        <v>0.1129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8" customHeight="1" x14ac:dyDescent="0.25">
      <c r="A25" s="1"/>
      <c r="B25" s="21" t="s">
        <v>29</v>
      </c>
      <c r="C25" s="21">
        <v>0.50749999999999995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8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8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8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8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8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8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8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8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8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8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8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8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8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8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8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8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8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8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8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8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8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8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8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8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8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8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8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8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8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8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8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8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8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8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mergeCells count="17">
    <mergeCell ref="B2:M2"/>
    <mergeCell ref="B3:M3"/>
    <mergeCell ref="B4:E4"/>
    <mergeCell ref="F4:H4"/>
    <mergeCell ref="I4:K4"/>
    <mergeCell ref="L4:N4"/>
    <mergeCell ref="B8:N8"/>
    <mergeCell ref="G9:N9"/>
    <mergeCell ref="G16:J17"/>
    <mergeCell ref="B5:E5"/>
    <mergeCell ref="F5:H5"/>
    <mergeCell ref="I5:K5"/>
    <mergeCell ref="L5:N5"/>
    <mergeCell ref="B6:E6"/>
    <mergeCell ref="F6:H6"/>
    <mergeCell ref="I6:K6"/>
    <mergeCell ref="L6:N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D6A0"/>
  </sheetPr>
  <dimension ref="A1:P55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16" customWidth="1"/>
    <col min="3" max="7" width="14" customWidth="1"/>
    <col min="8" max="8" width="2" customWidth="1"/>
    <col min="9" max="9" width="16" customWidth="1"/>
    <col min="10" max="14" width="14" customWidth="1"/>
    <col min="15" max="15" width="2" customWidth="1"/>
  </cols>
  <sheetData>
    <row r="1" spans="1:16" ht="36" customHeight="1" x14ac:dyDescent="0.25">
      <c r="A1" s="1"/>
      <c r="B1" s="70" t="s">
        <v>80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1"/>
      <c r="P1" s="1"/>
    </row>
    <row r="2" spans="1:16" x14ac:dyDescent="0.25">
      <c r="A2" s="1"/>
      <c r="B2" s="56" t="s">
        <v>81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45" t="s">
        <v>82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1"/>
      <c r="P4" s="1"/>
    </row>
    <row r="5" spans="1:16" x14ac:dyDescent="0.25">
      <c r="A5" s="1"/>
      <c r="B5" s="3" t="s">
        <v>83</v>
      </c>
      <c r="C5" s="3" t="s">
        <v>84</v>
      </c>
      <c r="D5" s="3" t="s">
        <v>85</v>
      </c>
      <c r="E5" s="3" t="s">
        <v>86</v>
      </c>
      <c r="F5" s="3" t="s">
        <v>87</v>
      </c>
      <c r="G5" s="3" t="s">
        <v>4</v>
      </c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37" t="s">
        <v>88</v>
      </c>
      <c r="C6" s="39">
        <v>228.31</v>
      </c>
      <c r="D6" s="39">
        <v>221.83</v>
      </c>
      <c r="E6" s="39">
        <v>174.63</v>
      </c>
      <c r="F6" s="39">
        <v>11.11</v>
      </c>
      <c r="G6" s="38">
        <v>0.22220000000000001</v>
      </c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40" t="s">
        <v>89</v>
      </c>
      <c r="C7" s="41">
        <v>181.12</v>
      </c>
      <c r="D7" s="41">
        <v>164.78</v>
      </c>
      <c r="E7" s="41">
        <v>240.54</v>
      </c>
      <c r="F7" s="41">
        <v>11.86</v>
      </c>
      <c r="G7" s="42">
        <v>0.1195</v>
      </c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43" t="s">
        <v>90</v>
      </c>
      <c r="C8" s="39">
        <v>126.04</v>
      </c>
      <c r="D8" s="39">
        <v>221.56</v>
      </c>
      <c r="E8" s="39">
        <v>179.78</v>
      </c>
      <c r="F8" s="39">
        <v>10.88</v>
      </c>
      <c r="G8" s="44">
        <v>0.1094</v>
      </c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34" t="s">
        <v>91</v>
      </c>
      <c r="C9" s="41">
        <v>186.66</v>
      </c>
      <c r="D9" s="41">
        <v>190.2</v>
      </c>
      <c r="E9" s="41">
        <v>209.54</v>
      </c>
      <c r="F9" s="41">
        <v>6.86</v>
      </c>
      <c r="G9" s="35">
        <v>0.10780000000000001</v>
      </c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45" t="s">
        <v>92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1"/>
      <c r="P11" s="1"/>
    </row>
    <row r="12" spans="1:16" ht="30" customHeight="1" x14ac:dyDescent="0.25">
      <c r="A12" s="1"/>
      <c r="B12" s="71" t="s">
        <v>88</v>
      </c>
      <c r="C12" s="71"/>
      <c r="D12" s="72" t="s">
        <v>93</v>
      </c>
      <c r="E12" s="72"/>
      <c r="F12" s="73" t="s">
        <v>94</v>
      </c>
      <c r="G12" s="73"/>
      <c r="H12" s="73"/>
      <c r="I12" s="73"/>
      <c r="J12" s="73"/>
      <c r="K12" s="73"/>
      <c r="L12" s="73"/>
      <c r="M12" s="73"/>
      <c r="N12" s="73"/>
      <c r="O12" s="1"/>
      <c r="P12" s="1"/>
    </row>
    <row r="13" spans="1:16" ht="30" customHeight="1" x14ac:dyDescent="0.25">
      <c r="A13" s="1"/>
      <c r="B13" s="64" t="s">
        <v>89</v>
      </c>
      <c r="C13" s="64"/>
      <c r="D13" s="65" t="s">
        <v>95</v>
      </c>
      <c r="E13" s="65"/>
      <c r="F13" s="66" t="s">
        <v>96</v>
      </c>
      <c r="G13" s="66"/>
      <c r="H13" s="66"/>
      <c r="I13" s="66"/>
      <c r="J13" s="66"/>
      <c r="K13" s="66"/>
      <c r="L13" s="66"/>
      <c r="M13" s="66"/>
      <c r="N13" s="66"/>
      <c r="O13" s="1"/>
      <c r="P13" s="1"/>
    </row>
    <row r="14" spans="1:16" ht="30" customHeight="1" x14ac:dyDescent="0.25">
      <c r="A14" s="1"/>
      <c r="B14" s="67" t="s">
        <v>90</v>
      </c>
      <c r="C14" s="67"/>
      <c r="D14" s="68" t="s">
        <v>95</v>
      </c>
      <c r="E14" s="68"/>
      <c r="F14" s="69" t="s">
        <v>97</v>
      </c>
      <c r="G14" s="69"/>
      <c r="H14" s="69"/>
      <c r="I14" s="69"/>
      <c r="J14" s="69"/>
      <c r="K14" s="69"/>
      <c r="L14" s="69"/>
      <c r="M14" s="69"/>
      <c r="N14" s="69"/>
      <c r="O14" s="1"/>
      <c r="P14" s="1"/>
    </row>
    <row r="15" spans="1:16" ht="30" customHeight="1" x14ac:dyDescent="0.25">
      <c r="A15" s="1"/>
      <c r="B15" s="61" t="s">
        <v>91</v>
      </c>
      <c r="C15" s="61"/>
      <c r="D15" s="62" t="s">
        <v>95</v>
      </c>
      <c r="E15" s="62"/>
      <c r="F15" s="63" t="s">
        <v>98</v>
      </c>
      <c r="G15" s="63"/>
      <c r="H15" s="63"/>
      <c r="I15" s="63"/>
      <c r="J15" s="63"/>
      <c r="K15" s="63"/>
      <c r="L15" s="63"/>
      <c r="M15" s="63"/>
      <c r="N15" s="63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30" t="s">
        <v>88</v>
      </c>
      <c r="C18" s="30">
        <v>0.22220000000000001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30" t="s">
        <v>89</v>
      </c>
      <c r="C19" s="30">
        <v>0.1195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30" t="s">
        <v>90</v>
      </c>
      <c r="C20" s="30">
        <v>0.1094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30" t="s">
        <v>91</v>
      </c>
      <c r="C21" s="30">
        <v>0.10780000000000001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mergeCells count="16">
    <mergeCell ref="B1:N1"/>
    <mergeCell ref="B2:N2"/>
    <mergeCell ref="B4:N4"/>
    <mergeCell ref="B11:N11"/>
    <mergeCell ref="B12:C12"/>
    <mergeCell ref="D12:E12"/>
    <mergeCell ref="F12:N12"/>
    <mergeCell ref="B15:C15"/>
    <mergeCell ref="D15:E15"/>
    <mergeCell ref="F15:N15"/>
    <mergeCell ref="B13:C13"/>
    <mergeCell ref="D13:E13"/>
    <mergeCell ref="F13:N13"/>
    <mergeCell ref="B14:C14"/>
    <mergeCell ref="D14:E14"/>
    <mergeCell ref="F14:N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166"/>
  </sheetPr>
  <dimension ref="A1:P55"/>
  <sheetViews>
    <sheetView showGridLines="0" tabSelected="1" topLeftCell="A8" zoomScaleNormal="100" workbookViewId="0">
      <selection activeCell="N11" sqref="N11:N24"/>
    </sheetView>
  </sheetViews>
  <sheetFormatPr defaultColWidth="8.7109375" defaultRowHeight="15" x14ac:dyDescent="0.25"/>
  <cols>
    <col min="1" max="1" width="2" customWidth="1"/>
    <col min="2" max="2" width="20" customWidth="1"/>
    <col min="3" max="6" width="14" customWidth="1"/>
    <col min="7" max="7" width="2" customWidth="1"/>
    <col min="8" max="8" width="20" customWidth="1"/>
    <col min="9" max="12" width="14" customWidth="1"/>
    <col min="13" max="13" width="2" customWidth="1"/>
    <col min="14" max="14" width="20" customWidth="1"/>
    <col min="15" max="16" width="14" customWidth="1"/>
  </cols>
  <sheetData>
    <row r="1" spans="1:16" ht="36" customHeight="1" x14ac:dyDescent="0.25">
      <c r="A1" s="1"/>
      <c r="B1" s="74" t="s">
        <v>38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 spans="1:16" x14ac:dyDescent="0.25">
      <c r="A2" s="1"/>
      <c r="B2" s="56" t="s">
        <v>39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45" t="s">
        <v>40</v>
      </c>
      <c r="C4" s="45"/>
      <c r="D4" s="45"/>
      <c r="E4" s="45"/>
      <c r="F4" s="45"/>
      <c r="G4" s="1"/>
      <c r="H4" s="45" t="s">
        <v>41</v>
      </c>
      <c r="I4" s="45"/>
      <c r="J4" s="45"/>
      <c r="K4" s="45"/>
      <c r="L4" s="45"/>
      <c r="M4" s="1"/>
      <c r="N4" s="1"/>
      <c r="O4" s="1"/>
      <c r="P4" s="1"/>
    </row>
    <row r="5" spans="1:16" x14ac:dyDescent="0.25">
      <c r="A5" s="1"/>
      <c r="B5" s="3" t="s">
        <v>42</v>
      </c>
      <c r="C5" s="3" t="s">
        <v>43</v>
      </c>
      <c r="D5" s="3" t="s">
        <v>13</v>
      </c>
      <c r="E5" s="3" t="s">
        <v>4</v>
      </c>
      <c r="F5" s="1"/>
      <c r="G5" s="1"/>
      <c r="H5" s="3" t="s">
        <v>42</v>
      </c>
      <c r="I5" s="3" t="s">
        <v>43</v>
      </c>
      <c r="J5" s="3" t="s">
        <v>13</v>
      </c>
      <c r="K5" s="3" t="s">
        <v>4</v>
      </c>
      <c r="L5" s="1"/>
      <c r="M5" s="1"/>
      <c r="N5" s="1"/>
      <c r="O5" s="1"/>
      <c r="P5" s="1"/>
    </row>
    <row r="6" spans="1:16" x14ac:dyDescent="0.25">
      <c r="A6" s="1"/>
      <c r="B6" s="22" t="s">
        <v>44</v>
      </c>
      <c r="C6" s="13">
        <v>3854</v>
      </c>
      <c r="D6" s="14">
        <v>431</v>
      </c>
      <c r="E6" s="23">
        <f>D6/C6</f>
        <v>0.11183186299948106</v>
      </c>
      <c r="F6" s="1"/>
      <c r="G6" s="1"/>
      <c r="H6" s="22" t="s">
        <v>45</v>
      </c>
      <c r="I6" s="13">
        <v>1112</v>
      </c>
      <c r="J6" s="14">
        <v>82</v>
      </c>
      <c r="K6" s="23">
        <f>J6/I6</f>
        <v>7.3741007194244604E-2</v>
      </c>
      <c r="L6" s="1"/>
      <c r="M6" s="1"/>
      <c r="N6" s="1"/>
      <c r="O6" s="1"/>
      <c r="P6" s="1"/>
    </row>
    <row r="7" spans="1:16" x14ac:dyDescent="0.25">
      <c r="A7" s="1"/>
      <c r="B7" s="24" t="s">
        <v>46</v>
      </c>
      <c r="C7" s="17">
        <v>396</v>
      </c>
      <c r="D7" s="18">
        <v>167</v>
      </c>
      <c r="E7" s="25">
        <f>D7/C7</f>
        <v>0.42171717171717171</v>
      </c>
      <c r="F7" s="1"/>
      <c r="G7" s="1"/>
      <c r="H7" s="24" t="s">
        <v>47</v>
      </c>
      <c r="I7" s="17">
        <v>3138</v>
      </c>
      <c r="J7" s="18">
        <v>516</v>
      </c>
      <c r="K7" s="26">
        <f>J7/I7</f>
        <v>0.16443594646271512</v>
      </c>
      <c r="L7" s="1"/>
      <c r="M7" s="1"/>
      <c r="N7" s="1"/>
      <c r="O7" s="1"/>
      <c r="P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45" t="s">
        <v>48</v>
      </c>
      <c r="C10" s="45"/>
      <c r="D10" s="45"/>
      <c r="E10" s="45"/>
      <c r="F10" s="45"/>
      <c r="G10" s="1"/>
      <c r="H10" s="45" t="s">
        <v>49</v>
      </c>
      <c r="I10" s="45"/>
      <c r="J10" s="45"/>
      <c r="K10" s="45"/>
      <c r="L10" s="45"/>
      <c r="M10" s="1"/>
      <c r="N10" s="1"/>
      <c r="O10" s="1"/>
      <c r="P10" s="1"/>
    </row>
    <row r="11" spans="1:16" x14ac:dyDescent="0.25">
      <c r="A11" s="1"/>
      <c r="B11" s="3" t="s">
        <v>50</v>
      </c>
      <c r="C11" s="3" t="s">
        <v>43</v>
      </c>
      <c r="D11" s="3" t="s">
        <v>13</v>
      </c>
      <c r="E11" s="3" t="s">
        <v>4</v>
      </c>
      <c r="F11" s="3" t="s">
        <v>51</v>
      </c>
      <c r="G11" s="1"/>
      <c r="H11" s="3" t="s">
        <v>52</v>
      </c>
      <c r="I11" s="3" t="s">
        <v>43</v>
      </c>
      <c r="J11" s="3" t="s">
        <v>13</v>
      </c>
      <c r="K11" s="3" t="s">
        <v>4</v>
      </c>
      <c r="L11" s="1"/>
      <c r="M11" s="1"/>
      <c r="N11" s="1"/>
      <c r="O11" s="1"/>
      <c r="P11" s="1"/>
    </row>
    <row r="12" spans="1:16" x14ac:dyDescent="0.25">
      <c r="A12" s="1"/>
      <c r="B12" s="22" t="s">
        <v>53</v>
      </c>
      <c r="C12" s="13">
        <v>1063</v>
      </c>
      <c r="D12" s="14">
        <v>129</v>
      </c>
      <c r="E12" s="23">
        <f>D12/C12</f>
        <v>0.1213546566321731</v>
      </c>
      <c r="F12" s="27" t="s">
        <v>54</v>
      </c>
      <c r="G12" s="1"/>
      <c r="H12" s="12" t="s">
        <v>55</v>
      </c>
      <c r="I12" s="13">
        <v>1056</v>
      </c>
      <c r="J12" s="14">
        <v>159</v>
      </c>
      <c r="K12" s="23">
        <f>J12/I12</f>
        <v>0.15056818181818182</v>
      </c>
      <c r="L12" s="1"/>
      <c r="M12" s="1"/>
      <c r="N12" s="1"/>
      <c r="O12" s="1"/>
      <c r="P12" s="1"/>
    </row>
    <row r="13" spans="1:16" x14ac:dyDescent="0.25">
      <c r="A13" s="1"/>
      <c r="B13" s="24" t="s">
        <v>56</v>
      </c>
      <c r="C13" s="17">
        <v>1062</v>
      </c>
      <c r="D13" s="18">
        <v>97</v>
      </c>
      <c r="E13" s="26">
        <f>D13/C13</f>
        <v>9.1337099811676078E-2</v>
      </c>
      <c r="F13" s="28" t="s">
        <v>54</v>
      </c>
      <c r="G13" s="1"/>
      <c r="H13" s="16" t="s">
        <v>57</v>
      </c>
      <c r="I13" s="17">
        <v>1086</v>
      </c>
      <c r="J13" s="18">
        <v>152</v>
      </c>
      <c r="K13" s="26">
        <f>J13/I13</f>
        <v>0.13996316758747698</v>
      </c>
      <c r="L13" s="1"/>
      <c r="M13" s="1"/>
      <c r="N13" s="1"/>
      <c r="O13" s="1"/>
      <c r="P13" s="1"/>
    </row>
    <row r="14" spans="1:16" x14ac:dyDescent="0.25">
      <c r="A14" s="1"/>
      <c r="B14" s="22" t="s">
        <v>58</v>
      </c>
      <c r="C14" s="13">
        <v>1060</v>
      </c>
      <c r="D14" s="14">
        <v>66</v>
      </c>
      <c r="E14" s="23">
        <f>D14/C14</f>
        <v>6.2264150943396226E-2</v>
      </c>
      <c r="F14" s="27" t="s">
        <v>54</v>
      </c>
      <c r="G14" s="1"/>
      <c r="H14" s="12" t="s">
        <v>59</v>
      </c>
      <c r="I14" s="13">
        <v>2108</v>
      </c>
      <c r="J14" s="14">
        <v>287</v>
      </c>
      <c r="K14" s="23">
        <f>J14/I14</f>
        <v>0.13614800759013282</v>
      </c>
      <c r="L14" s="1"/>
      <c r="M14" s="1"/>
      <c r="N14" s="1"/>
      <c r="O14" s="1"/>
      <c r="P14" s="1"/>
    </row>
    <row r="15" spans="1:16" x14ac:dyDescent="0.25">
      <c r="A15" s="1"/>
      <c r="B15" s="24" t="s">
        <v>60</v>
      </c>
      <c r="C15" s="17">
        <v>1065</v>
      </c>
      <c r="D15" s="18">
        <v>306</v>
      </c>
      <c r="E15" s="25">
        <f>D15/C15</f>
        <v>0.28732394366197184</v>
      </c>
      <c r="F15" s="29" t="s">
        <v>61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30" t="s">
        <v>53</v>
      </c>
      <c r="C17" s="30">
        <v>0.12139999999999999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30" t="s">
        <v>56</v>
      </c>
      <c r="C18" s="30">
        <v>9.1300000000000006E-2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30" t="s">
        <v>58</v>
      </c>
      <c r="C19" s="30">
        <v>6.2300000000000001E-2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30" t="s">
        <v>60</v>
      </c>
      <c r="C20" s="30">
        <v>0.2873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mergeCells count="6">
    <mergeCell ref="B1:P1"/>
    <mergeCell ref="B2:P2"/>
    <mergeCell ref="B4:F4"/>
    <mergeCell ref="H4:L4"/>
    <mergeCell ref="B10:F10"/>
    <mergeCell ref="H10:L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4D6D"/>
  </sheetPr>
  <dimension ref="A1:N55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18" customWidth="1"/>
    <col min="3" max="6" width="16" customWidth="1"/>
    <col min="7" max="7" width="2" customWidth="1"/>
    <col min="8" max="8" width="18" customWidth="1"/>
    <col min="9" max="11" width="16" customWidth="1"/>
    <col min="12" max="12" width="2" customWidth="1"/>
  </cols>
  <sheetData>
    <row r="1" spans="1:14" ht="36" customHeight="1" x14ac:dyDescent="0.25">
      <c r="A1" s="1"/>
      <c r="B1" s="79" t="s">
        <v>62</v>
      </c>
      <c r="C1" s="79"/>
      <c r="D1" s="79"/>
      <c r="E1" s="79"/>
      <c r="F1" s="79"/>
      <c r="G1" s="79"/>
      <c r="H1" s="79"/>
      <c r="I1" s="79"/>
      <c r="J1" s="79"/>
      <c r="K1" s="79"/>
      <c r="L1" s="1"/>
      <c r="M1" s="1"/>
      <c r="N1" s="1"/>
    </row>
    <row r="2" spans="1:14" x14ac:dyDescent="0.25">
      <c r="A2" s="1"/>
      <c r="B2" s="56" t="s">
        <v>63</v>
      </c>
      <c r="C2" s="56"/>
      <c r="D2" s="56"/>
      <c r="E2" s="56"/>
      <c r="F2" s="56"/>
      <c r="G2" s="56"/>
      <c r="H2" s="56"/>
      <c r="I2" s="56"/>
      <c r="J2" s="56"/>
      <c r="K2" s="56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80" t="s">
        <v>64</v>
      </c>
      <c r="C4" s="80"/>
      <c r="D4" s="80"/>
      <c r="E4" s="80"/>
      <c r="F4" s="81" t="s">
        <v>65</v>
      </c>
      <c r="G4" s="81"/>
      <c r="H4" s="81"/>
      <c r="I4" s="81"/>
      <c r="J4" s="82" t="s">
        <v>66</v>
      </c>
      <c r="K4" s="82"/>
      <c r="L4" s="82"/>
      <c r="M4" s="82"/>
      <c r="N4" s="1"/>
    </row>
    <row r="5" spans="1:14" ht="27.75" x14ac:dyDescent="0.25">
      <c r="A5" s="1"/>
      <c r="B5" s="50">
        <v>2689</v>
      </c>
      <c r="C5" s="50"/>
      <c r="D5" s="50"/>
      <c r="E5" s="50"/>
      <c r="F5" s="75">
        <v>1338</v>
      </c>
      <c r="G5" s="75"/>
      <c r="H5" s="75"/>
      <c r="I5" s="75"/>
      <c r="J5" s="48">
        <v>223</v>
      </c>
      <c r="K5" s="48"/>
      <c r="L5" s="48"/>
      <c r="M5" s="48"/>
      <c r="N5" s="1"/>
    </row>
    <row r="6" spans="1:14" ht="20.25" x14ac:dyDescent="0.25">
      <c r="A6" s="1"/>
      <c r="B6" s="76">
        <v>2.4199999999999999E-2</v>
      </c>
      <c r="C6" s="76"/>
      <c r="D6" s="76"/>
      <c r="E6" s="76"/>
      <c r="F6" s="77">
        <v>0.3221</v>
      </c>
      <c r="G6" s="77"/>
      <c r="H6" s="77"/>
      <c r="I6" s="77"/>
      <c r="J6" s="78">
        <v>0.45739999999999997</v>
      </c>
      <c r="K6" s="78"/>
      <c r="L6" s="78"/>
      <c r="M6" s="78"/>
      <c r="N6" s="1"/>
    </row>
    <row r="7" spans="1:14" x14ac:dyDescent="0.25">
      <c r="A7" s="1"/>
      <c r="B7" s="54" t="s">
        <v>67</v>
      </c>
      <c r="C7" s="54"/>
      <c r="D7" s="54"/>
      <c r="E7" s="54"/>
      <c r="F7" s="53" t="s">
        <v>68</v>
      </c>
      <c r="G7" s="53"/>
      <c r="H7" s="53"/>
      <c r="I7" s="53"/>
      <c r="J7" s="52" t="s">
        <v>69</v>
      </c>
      <c r="K7" s="52"/>
      <c r="L7" s="52"/>
      <c r="M7" s="52"/>
      <c r="N7" s="1"/>
    </row>
    <row r="8" spans="1:1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/>
      <c r="B9" s="45" t="s">
        <v>70</v>
      </c>
      <c r="C9" s="45"/>
      <c r="D9" s="45"/>
      <c r="E9" s="45"/>
      <c r="F9" s="45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3" t="s">
        <v>71</v>
      </c>
      <c r="C10" s="3" t="s">
        <v>72</v>
      </c>
      <c r="D10" s="3" t="s">
        <v>43</v>
      </c>
      <c r="E10" s="3" t="s">
        <v>4</v>
      </c>
      <c r="F10" s="3" t="s">
        <v>73</v>
      </c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31" t="s">
        <v>74</v>
      </c>
      <c r="C11" s="12" t="s">
        <v>75</v>
      </c>
      <c r="D11" s="13">
        <v>2689</v>
      </c>
      <c r="E11" s="32">
        <v>2.4199999999999999E-2</v>
      </c>
      <c r="F11" s="33">
        <f>ROUND(D11*E11,0)</f>
        <v>65</v>
      </c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/>
      <c r="B12" s="34" t="s">
        <v>76</v>
      </c>
      <c r="C12" s="16" t="s">
        <v>77</v>
      </c>
      <c r="D12" s="17">
        <v>1338</v>
      </c>
      <c r="E12" s="35">
        <v>0.3221</v>
      </c>
      <c r="F12" s="36">
        <f>ROUND(D12*E12,0)</f>
        <v>431</v>
      </c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/>
      <c r="B13" s="37" t="s">
        <v>78</v>
      </c>
      <c r="C13" s="12" t="s">
        <v>79</v>
      </c>
      <c r="D13" s="13">
        <v>223</v>
      </c>
      <c r="E13" s="38">
        <v>0.45739999999999997</v>
      </c>
      <c r="F13" s="33">
        <f>ROUND(D13*E13,0)</f>
        <v>102</v>
      </c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30" t="s">
        <v>74</v>
      </c>
      <c r="C16" s="30">
        <v>2.4199999999999999E-2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30" t="s">
        <v>76</v>
      </c>
      <c r="C17" s="30">
        <v>0.3221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30" t="s">
        <v>78</v>
      </c>
      <c r="C18" s="30">
        <v>0.45739999999999997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</sheetData>
  <mergeCells count="15">
    <mergeCell ref="B1:K1"/>
    <mergeCell ref="B2:K2"/>
    <mergeCell ref="B4:E4"/>
    <mergeCell ref="F4:I4"/>
    <mergeCell ref="J4:M4"/>
    <mergeCell ref="B7:E7"/>
    <mergeCell ref="F7:I7"/>
    <mergeCell ref="J7:M7"/>
    <mergeCell ref="B9:F9"/>
    <mergeCell ref="B5:E5"/>
    <mergeCell ref="F5:I5"/>
    <mergeCell ref="J5:M5"/>
    <mergeCell ref="B6:E6"/>
    <mergeCell ref="F6:I6"/>
    <mergeCell ref="J6:M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Clusters</vt:lpstr>
      <vt:lpstr>Plans &amp; Usage</vt:lpstr>
      <vt:lpstr>Risk 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1</cp:revision>
  <dcterms:created xsi:type="dcterms:W3CDTF">2026-03-07T20:55:31Z</dcterms:created>
  <dcterms:modified xsi:type="dcterms:W3CDTF">2026-03-08T09:05:33Z</dcterms:modified>
  <dc:language>en-US</dc:language>
</cp:coreProperties>
</file>